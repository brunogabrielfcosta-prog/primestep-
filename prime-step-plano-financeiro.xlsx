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Volume e Receita" sheetId="2" state="visible" r:id="rId4"/>
    <sheet name="Fluxo de Caixa" sheetId="3" state="visible" r:id="rId5"/>
    <sheet name="Uso do Capital" sheetId="4" state="visible" r:id="rId6"/>
    <sheet name="Ponto de Equilíbrio" sheetId="5" state="visible" r:id="rId7"/>
    <sheet name="Resum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Estimativa: produtos de limpeza, impermeabilizante, embalagem e desgaste de material por par. Ajuste conforme o custo real das suas compras.</t>
        </r>
      </text>
    </comment>
    <comment ref="B12" authorId="0">
      <text>
        <r>
          <rPr>
            <sz val="10"/>
            <rFont val="Arial"/>
            <family val="2"/>
          </rPr>
          <t xml:space="preserve">Assinaturas, taxa de maquininha/gateway, transporte, embalagens administrativas etc. Ajuste conforme sua realidade.</t>
        </r>
      </text>
    </comment>
    <comment ref="B16" authorId="0">
      <text>
        <r>
          <rPr>
            <sz val="10"/>
            <rFont val="Arial"/>
            <family val="2"/>
          </rPr>
          <t xml:space="preserve">Ex.: máquina a vapor, lavadora ultrassônica/ozônio, escovas profissionais, secador, estrutura de fotos. Ajuste para os itens reais.</t>
        </r>
      </text>
    </comment>
    <comment ref="B21" authorId="0">
      <text>
        <r>
          <rPr>
            <sz val="10"/>
            <rFont val="Arial"/>
            <family val="2"/>
          </rPr>
          <t xml:space="preserve">Equivale a ~1 cliente a cada 2 dias, informado como ponto de partida.</t>
        </r>
      </text>
    </comment>
  </commentList>
</comments>
</file>

<file path=xl/sharedStrings.xml><?xml version="1.0" encoding="utf-8"?>
<sst xmlns="http://schemas.openxmlformats.org/spreadsheetml/2006/main" count="83" uniqueCount="63">
  <si>
    <t xml:space="preserve">PRIME STEP — Premissas do Modelo</t>
  </si>
  <si>
    <t xml:space="preserve">Células em azul sobre fundo amarelo são premissas editáveis. Ajuste os valores e todo o resto recalcula automaticamente.</t>
  </si>
  <si>
    <t xml:space="preserve">Precificação e custo variável</t>
  </si>
  <si>
    <t xml:space="preserve">Ticket médio por par (R$)</t>
  </si>
  <si>
    <t xml:space="preserve">Custo variável por par (R$)</t>
  </si>
  <si>
    <t xml:space="preserve">Margem de contribuição por par (R$)</t>
  </si>
  <si>
    <t xml:space="preserve">Margem de contribuição (%)</t>
  </si>
  <si>
    <t xml:space="preserve">Operação</t>
  </si>
  <si>
    <t xml:space="preserve">Dias de operação por mês</t>
  </si>
  <si>
    <t xml:space="preserve">Custo fixo mensal (R$)</t>
  </si>
  <si>
    <t xml:space="preserve">Capital e investimento inicial</t>
  </si>
  <si>
    <t xml:space="preserve">Capital aportado pelo sócio (R$)</t>
  </si>
  <si>
    <t xml:space="preserve">Investimento inicial — equipamentos (R$)</t>
  </si>
  <si>
    <t xml:space="preserve">Investimento inicial — estoque de insumos (R$)</t>
  </si>
  <si>
    <t xml:space="preserve">Reserva para marketing e capital de giro (R$)</t>
  </si>
  <si>
    <t xml:space="preserve">Meta de crescimento</t>
  </si>
  <si>
    <t xml:space="preserve">Volume atual (pares/dia)</t>
  </si>
  <si>
    <t xml:space="preserve">Meta de volume — dezembro/26 (pares/dia)</t>
  </si>
  <si>
    <t xml:space="preserve">Ramp mensal — volume e marketing (set–dez/2026)</t>
  </si>
  <si>
    <t xml:space="preserve">Set/26</t>
  </si>
  <si>
    <t xml:space="preserve">Out/26</t>
  </si>
  <si>
    <t xml:space="preserve">Nov/26</t>
  </si>
  <si>
    <t xml:space="preserve">Dez/26</t>
  </si>
  <si>
    <t xml:space="preserve">Pares/dia planejado</t>
  </si>
  <si>
    <t xml:space="preserve">Investimento em tráfego pago (R$)</t>
  </si>
  <si>
    <t xml:space="preserve">Projeção de Volume e Receita — Set a Dez/2026</t>
  </si>
  <si>
    <t xml:space="preserve">Mês</t>
  </si>
  <si>
    <t xml:space="preserve">Pares/dia</t>
  </si>
  <si>
    <t xml:space="preserve">Dias de operação</t>
  </si>
  <si>
    <t xml:space="preserve">Volume mensal (pares)</t>
  </si>
  <si>
    <t xml:space="preserve">Ticket médio (R$)</t>
  </si>
  <si>
    <t xml:space="preserve">Receita (R$)</t>
  </si>
  <si>
    <t xml:space="preserve">Total (set–dez)</t>
  </si>
  <si>
    <t xml:space="preserve">Fluxo de Caixa Projetado — Implantação a Dez/2026</t>
  </si>
  <si>
    <t xml:space="preserve">Custo variável (R$)</t>
  </si>
  <si>
    <t xml:space="preserve">Marketing (R$)</t>
  </si>
  <si>
    <t xml:space="preserve">Custo fixo (R$)</t>
  </si>
  <si>
    <t xml:space="preserve">Lucro líquido (R$)</t>
  </si>
  <si>
    <t xml:space="preserve">Saldo inicial (R$)</t>
  </si>
  <si>
    <t xml:space="preserve">Saldo final (R$)</t>
  </si>
  <si>
    <t xml:space="preserve">Implantação (pré-set)</t>
  </si>
  <si>
    <t xml:space="preserve">Uso do Capital do Sócio (R$ 15.000)</t>
  </si>
  <si>
    <t xml:space="preserve">Item</t>
  </si>
  <si>
    <t xml:space="preserve">Valor (R$)</t>
  </si>
  <si>
    <t xml:space="preserve">% do capital</t>
  </si>
  <si>
    <t xml:space="preserve">Equipamentos (máquina a vapor, escovas, secador etc.)</t>
  </si>
  <si>
    <t xml:space="preserve">Estoque inicial de insumos</t>
  </si>
  <si>
    <t xml:space="preserve">Tráfego pago (set–dez/26)</t>
  </si>
  <si>
    <t xml:space="preserve">Capital de giro / reserva</t>
  </si>
  <si>
    <t xml:space="preserve">Total</t>
  </si>
  <si>
    <t xml:space="preserve">Ponto de Equilíbrio Mensal</t>
  </si>
  <si>
    <t xml:space="preserve">Custos fixos + marketing (R$)</t>
  </si>
  <si>
    <t xml:space="preserve">Margem de contrib./par (R$)</t>
  </si>
  <si>
    <t xml:space="preserve">Pares/mês p/ empatar</t>
  </si>
  <si>
    <t xml:space="preserve">Pares/dia p/ empatar</t>
  </si>
  <si>
    <t xml:space="preserve">Margem de segurança (%)</t>
  </si>
  <si>
    <t xml:space="preserve">Resumo Executivo — Prime Step</t>
  </si>
  <si>
    <t xml:space="preserve">Plano de crescimento — set a dez/2026</t>
  </si>
  <si>
    <t xml:space="preserve">Meta de volume — dez/26 (pares/dia)</t>
  </si>
  <si>
    <t xml:space="preserve">Crescimento de volume (x)</t>
  </si>
  <si>
    <t xml:space="preserve">Receita total projetada (set–dez)</t>
  </si>
  <si>
    <t xml:space="preserve">Lucro líquido total (set–dez)</t>
  </si>
  <si>
    <t xml:space="preserve">Saldo de caixa em 31/dez/26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</si>
</sst>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&quot;(R$ &quot;#,##0\);\-"/>
    <numFmt numFmtId="166" formatCode="0.0%"/>
    <numFmt numFmtId="167" formatCode="0.0"/>
    <numFmt numFmtId="168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0F5E"/>
      <name val="Cambria"/>
      <family val="0"/>
      <charset val="1"/>
    </font>
    <font>
      <i val="true"/>
      <sz val="9"/>
      <color rgb="FF8A8375"/>
      <name val="Cambria"/>
      <family val="0"/>
      <charset val="1"/>
    </font>
    <font>
      <b val="true"/>
      <sz val="11"/>
      <color rgb="FF4B1D96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10"/>
      <color rgb="FF5B4A78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B1D96"/>
        <bgColor rgb="FF2E0F5E"/>
      </patternFill>
    </fill>
    <fill>
      <patternFill patternType="solid">
        <fgColor rgb="FFF2EC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E0F5E"/>
      <rgbColor rgb="FF808000"/>
      <rgbColor rgb="FF800080"/>
      <rgbColor rgb="FF008080"/>
      <rgbColor rgb="FFCCCCCC"/>
      <rgbColor rgb="FF8A8375"/>
      <rgbColor rgb="FF9999FF"/>
      <rgbColor rgb="FF993366"/>
      <rgbColor rgb="FFF9F9F9"/>
      <rgbColor rgb="FFF2EC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B4A78"/>
      <rgbColor rgb="FF878787"/>
      <rgbColor rgb="FF003366"/>
      <rgbColor rgb="FF339966"/>
      <rgbColor rgb="FF003300"/>
      <rgbColor rgb="FF333300"/>
      <rgbColor rgb="FF993300"/>
      <rgbColor rgb="FF993366"/>
      <rgbColor rgb="FF4B1D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mensal projetada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'Volume e Receita'!F3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e Receita'!$A$4:$A$7</c:f>
              <c:strCache>
                <c:ptCount val="4"/>
                <c:pt idx="0">
                  <c:v>Set/26</c:v>
                </c:pt>
                <c:pt idx="1">
                  <c:v>Out/26</c:v>
                </c:pt>
                <c:pt idx="2">
                  <c:v>Nov/26</c:v>
                </c:pt>
                <c:pt idx="3">
                  <c:v>Dez/26</c:v>
                </c:pt>
              </c:strCache>
            </c:strRef>
          </c:cat>
          <c:val>
            <c:numRef>
              <c:f>'Volume e Receita'!$F$4:$F$7</c:f>
              <c:numCache>
                <c:formatCode>"R$ "#,##0;"(R$ "#,##0\);\-</c:formatCode>
                <c:ptCount val="4"/>
                <c:pt idx="0">
                  <c:v>3640</c:v>
                </c:pt>
                <c:pt idx="1">
                  <c:v>6370</c:v>
                </c:pt>
                <c:pt idx="2">
                  <c:v>8736</c:v>
                </c:pt>
                <c:pt idx="3">
                  <c:v>10920</c:v>
                </c:pt>
              </c:numCache>
            </c:numRef>
          </c:val>
        </c:ser>
        <c:gapWidth val="150"/>
        <c:overlap val="0"/>
        <c:axId val="63064092"/>
        <c:axId val="29364007"/>
      </c:barChart>
      <c:catAx>
        <c:axId val="63064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64007"/>
        <c:crosses val="autoZero"/>
        <c:auto val="1"/>
        <c:lblAlgn val="ctr"/>
        <c:lblOffset val="100"/>
        <c:noMultiLvlLbl val="0"/>
      </c:catAx>
      <c:valAx>
        <c:axId val="29364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;&quot;(R$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4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160560</xdr:rowOff>
    </xdr:from>
    <xdr:to>
      <xdr:col>4</xdr:col>
      <xdr:colOff>166680</xdr:colOff>
      <xdr:row>28</xdr:row>
      <xdr:rowOff>161640</xdr:rowOff>
    </xdr:to>
    <xdr:graphicFrame>
      <xdr:nvGraphicFramePr>
        <xdr:cNvPr id="0" name="Chart 1"/>
        <xdr:cNvGraphicFramePr/>
      </xdr:nvGraphicFramePr>
      <xdr:xfrm>
        <a:off x="0" y="228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140</v>
      </c>
    </row>
    <row r="6" customFormat="false" ht="15" hidden="false" customHeight="false" outlineLevel="0" collapsed="false">
      <c r="A6" s="0" t="s">
        <v>4</v>
      </c>
      <c r="B6" s="4" t="n">
        <v>20</v>
      </c>
    </row>
    <row r="7" customFormat="false" ht="15" hidden="false" customHeight="false" outlineLevel="0" collapsed="false">
      <c r="A7" s="0" t="s">
        <v>5</v>
      </c>
      <c r="B7" s="5" t="n">
        <f aca="false">B5-B6</f>
        <v>120</v>
      </c>
    </row>
    <row r="8" customFormat="false" ht="15" hidden="false" customHeight="false" outlineLevel="0" collapsed="false">
      <c r="A8" s="0" t="s">
        <v>6</v>
      </c>
      <c r="B8" s="6" t="n">
        <f aca="false">B7/B5</f>
        <v>0.857142857142857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0" t="s">
        <v>8</v>
      </c>
      <c r="B11" s="7" t="n">
        <v>26</v>
      </c>
    </row>
    <row r="12" customFormat="false" ht="15" hidden="false" customHeight="false" outlineLevel="0" collapsed="false">
      <c r="A12" s="0" t="s">
        <v>9</v>
      </c>
      <c r="B12" s="4" t="n">
        <v>300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0" t="s">
        <v>11</v>
      </c>
      <c r="B15" s="4" t="n">
        <v>15000</v>
      </c>
    </row>
    <row r="16" customFormat="false" ht="15" hidden="false" customHeight="false" outlineLevel="0" collapsed="false">
      <c r="A16" s="0" t="s">
        <v>12</v>
      </c>
      <c r="B16" s="4" t="n">
        <v>5000</v>
      </c>
    </row>
    <row r="17" customFormat="false" ht="15" hidden="false" customHeight="false" outlineLevel="0" collapsed="false">
      <c r="A17" s="0" t="s">
        <v>13</v>
      </c>
      <c r="B17" s="4" t="n">
        <v>1500</v>
      </c>
    </row>
    <row r="18" customFormat="false" ht="15" hidden="false" customHeight="false" outlineLevel="0" collapsed="false">
      <c r="A18" s="0" t="s">
        <v>14</v>
      </c>
      <c r="B18" s="5" t="n">
        <f aca="false">B15-B16-B17</f>
        <v>8500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0" t="s">
        <v>16</v>
      </c>
      <c r="B21" s="7" t="n">
        <v>0.5</v>
      </c>
    </row>
    <row r="22" customFormat="false" ht="15" hidden="false" customHeight="false" outlineLevel="0" collapsed="false">
      <c r="A22" s="0" t="s">
        <v>17</v>
      </c>
      <c r="B22" s="7" t="n">
        <v>3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B25" s="8" t="s">
        <v>19</v>
      </c>
      <c r="C25" s="8" t="s">
        <v>20</v>
      </c>
      <c r="D25" s="8" t="s">
        <v>21</v>
      </c>
      <c r="E25" s="8" t="s">
        <v>22</v>
      </c>
    </row>
    <row r="26" customFormat="false" ht="15" hidden="false" customHeight="false" outlineLevel="0" collapsed="false">
      <c r="A26" s="0" t="s">
        <v>23</v>
      </c>
      <c r="B26" s="7" t="n">
        <v>1</v>
      </c>
      <c r="C26" s="7" t="n">
        <v>1.75</v>
      </c>
      <c r="D26" s="7" t="n">
        <v>2.4</v>
      </c>
      <c r="E26" s="7" t="n">
        <v>3</v>
      </c>
    </row>
    <row r="27" customFormat="false" ht="15" hidden="false" customHeight="false" outlineLevel="0" collapsed="false">
      <c r="A27" s="0" t="s">
        <v>24</v>
      </c>
      <c r="B27" s="4" t="n">
        <v>1000</v>
      </c>
      <c r="C27" s="4" t="n">
        <v>1500</v>
      </c>
      <c r="D27" s="4" t="n">
        <v>1750</v>
      </c>
      <c r="E27" s="4" t="n">
        <v>1750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25</v>
      </c>
    </row>
    <row r="3" customFormat="false" ht="28.35" hidden="false" customHeight="false" outlineLevel="0" collapsed="false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</row>
    <row r="4" customFormat="false" ht="15" hidden="false" customHeight="false" outlineLevel="0" collapsed="false">
      <c r="A4" s="10" t="s">
        <v>19</v>
      </c>
      <c r="B4" s="11" t="n">
        <f aca="false">Premissas!B26</f>
        <v>1</v>
      </c>
      <c r="C4" s="11" t="n">
        <f aca="false">Premissas!$B$11</f>
        <v>26</v>
      </c>
      <c r="D4" s="12" t="n">
        <f aca="false">B4*C4</f>
        <v>26</v>
      </c>
      <c r="E4" s="13" t="n">
        <f aca="false">Premissas!$B$5</f>
        <v>140</v>
      </c>
      <c r="F4" s="5" t="n">
        <f aca="false">D4*E4</f>
        <v>3640</v>
      </c>
    </row>
    <row r="5" customFormat="false" ht="15" hidden="false" customHeight="false" outlineLevel="0" collapsed="false">
      <c r="A5" s="10" t="s">
        <v>20</v>
      </c>
      <c r="B5" s="11" t="n">
        <f aca="false">Premissas!C26</f>
        <v>1.75</v>
      </c>
      <c r="C5" s="11" t="n">
        <f aca="false">Premissas!$B$11</f>
        <v>26</v>
      </c>
      <c r="D5" s="12" t="n">
        <f aca="false">B5*C5</f>
        <v>45.5</v>
      </c>
      <c r="E5" s="13" t="n">
        <f aca="false">Premissas!$B$5</f>
        <v>140</v>
      </c>
      <c r="F5" s="5" t="n">
        <f aca="false">D5*E5</f>
        <v>6370</v>
      </c>
    </row>
    <row r="6" customFormat="false" ht="15" hidden="false" customHeight="false" outlineLevel="0" collapsed="false">
      <c r="A6" s="10" t="s">
        <v>21</v>
      </c>
      <c r="B6" s="11" t="n">
        <f aca="false">Premissas!D26</f>
        <v>2.4</v>
      </c>
      <c r="C6" s="11" t="n">
        <f aca="false">Premissas!$B$11</f>
        <v>26</v>
      </c>
      <c r="D6" s="12" t="n">
        <f aca="false">B6*C6</f>
        <v>62.4</v>
      </c>
      <c r="E6" s="13" t="n">
        <f aca="false">Premissas!$B$5</f>
        <v>140</v>
      </c>
      <c r="F6" s="5" t="n">
        <f aca="false">D6*E6</f>
        <v>8736</v>
      </c>
    </row>
    <row r="7" customFormat="false" ht="15" hidden="false" customHeight="false" outlineLevel="0" collapsed="false">
      <c r="A7" s="10" t="s">
        <v>22</v>
      </c>
      <c r="B7" s="11" t="n">
        <f aca="false">Premissas!E26</f>
        <v>3</v>
      </c>
      <c r="C7" s="11" t="n">
        <f aca="false">Premissas!$B$11</f>
        <v>26</v>
      </c>
      <c r="D7" s="12" t="n">
        <f aca="false">B7*C7</f>
        <v>78</v>
      </c>
      <c r="E7" s="13" t="n">
        <f aca="false">Premissas!$B$5</f>
        <v>140</v>
      </c>
      <c r="F7" s="5" t="n">
        <f aca="false">D7*E7</f>
        <v>10920</v>
      </c>
    </row>
    <row r="8" customFormat="false" ht="15" hidden="false" customHeight="false" outlineLevel="0" collapsed="false">
      <c r="A8" s="14" t="s">
        <v>32</v>
      </c>
      <c r="B8" s="15"/>
      <c r="C8" s="15"/>
      <c r="D8" s="16" t="n">
        <f aca="false">SUM(D4:D7)</f>
        <v>211.9</v>
      </c>
      <c r="E8" s="15"/>
      <c r="F8" s="17" t="n">
        <f aca="false">SUM(F4:F7)</f>
        <v>29666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33</v>
      </c>
    </row>
    <row r="3" customFormat="false" ht="28.35" hidden="false" customHeight="false" outlineLevel="0" collapsed="false">
      <c r="A3" s="9" t="s">
        <v>26</v>
      </c>
      <c r="B3" s="9" t="s">
        <v>31</v>
      </c>
      <c r="C3" s="9" t="s">
        <v>34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39</v>
      </c>
    </row>
    <row r="4" customFormat="false" ht="15" hidden="false" customHeight="false" outlineLevel="0" collapsed="false">
      <c r="A4" s="10" t="s">
        <v>40</v>
      </c>
      <c r="B4" s="5" t="n">
        <f aca="false">0</f>
        <v>0</v>
      </c>
      <c r="C4" s="5" t="n">
        <f aca="false">0</f>
        <v>0</v>
      </c>
      <c r="D4" s="5" t="n">
        <f aca="false">0</f>
        <v>0</v>
      </c>
      <c r="E4" s="5" t="n">
        <f aca="false">0</f>
        <v>0</v>
      </c>
      <c r="F4" s="13" t="n">
        <f aca="false">-(Premissas!B16+Premissas!B17)</f>
        <v>-6500</v>
      </c>
      <c r="G4" s="13" t="n">
        <f aca="false">Premissas!B15</f>
        <v>15000</v>
      </c>
      <c r="H4" s="18" t="n">
        <f aca="false">G4+F4</f>
        <v>8500</v>
      </c>
    </row>
    <row r="5" customFormat="false" ht="15" hidden="false" customHeight="false" outlineLevel="0" collapsed="false">
      <c r="A5" s="10" t="s">
        <v>19</v>
      </c>
      <c r="B5" s="13" t="n">
        <f aca="false">'Volume e Receita'!F4</f>
        <v>3640</v>
      </c>
      <c r="C5" s="13" t="n">
        <f aca="false">'Volume e Receita'!D4*Premissas!$B$6</f>
        <v>520</v>
      </c>
      <c r="D5" s="13" t="n">
        <f aca="false">Premissas!B27</f>
        <v>1000</v>
      </c>
      <c r="E5" s="13" t="n">
        <f aca="false">Premissas!$B$12</f>
        <v>300</v>
      </c>
      <c r="F5" s="5" t="n">
        <f aca="false">B5-C5-D5-E5</f>
        <v>1820</v>
      </c>
      <c r="G5" s="5" t="n">
        <f aca="false">H4</f>
        <v>8500</v>
      </c>
      <c r="H5" s="18" t="n">
        <f aca="false">G5+F5</f>
        <v>10320</v>
      </c>
    </row>
    <row r="6" customFormat="false" ht="15" hidden="false" customHeight="false" outlineLevel="0" collapsed="false">
      <c r="A6" s="10" t="s">
        <v>20</v>
      </c>
      <c r="B6" s="13" t="n">
        <f aca="false">'Volume e Receita'!F5</f>
        <v>6370</v>
      </c>
      <c r="C6" s="13" t="n">
        <f aca="false">'Volume e Receita'!D5*Premissas!$B$6</f>
        <v>910</v>
      </c>
      <c r="D6" s="13" t="n">
        <f aca="false">Premissas!C27</f>
        <v>1500</v>
      </c>
      <c r="E6" s="13" t="n">
        <f aca="false">Premissas!$B$12</f>
        <v>300</v>
      </c>
      <c r="F6" s="5" t="n">
        <f aca="false">B6-C6-D6-E6</f>
        <v>3660</v>
      </c>
      <c r="G6" s="5" t="n">
        <f aca="false">H5</f>
        <v>10320</v>
      </c>
      <c r="H6" s="18" t="n">
        <f aca="false">G6+F6</f>
        <v>13980</v>
      </c>
    </row>
    <row r="7" customFormat="false" ht="15" hidden="false" customHeight="false" outlineLevel="0" collapsed="false">
      <c r="A7" s="10" t="s">
        <v>21</v>
      </c>
      <c r="B7" s="13" t="n">
        <f aca="false">'Volume e Receita'!F6</f>
        <v>8736</v>
      </c>
      <c r="C7" s="13" t="n">
        <f aca="false">'Volume e Receita'!D6*Premissas!$B$6</f>
        <v>1248</v>
      </c>
      <c r="D7" s="13" t="n">
        <f aca="false">Premissas!D27</f>
        <v>1750</v>
      </c>
      <c r="E7" s="13" t="n">
        <f aca="false">Premissas!$B$12</f>
        <v>300</v>
      </c>
      <c r="F7" s="5" t="n">
        <f aca="false">B7-C7-D7-E7</f>
        <v>5438</v>
      </c>
      <c r="G7" s="5" t="n">
        <f aca="false">H6</f>
        <v>13980</v>
      </c>
      <c r="H7" s="18" t="n">
        <f aca="false">G7+F7</f>
        <v>19418</v>
      </c>
    </row>
    <row r="8" customFormat="false" ht="15" hidden="false" customHeight="false" outlineLevel="0" collapsed="false">
      <c r="A8" s="10" t="s">
        <v>22</v>
      </c>
      <c r="B8" s="13" t="n">
        <f aca="false">'Volume e Receita'!F7</f>
        <v>10920</v>
      </c>
      <c r="C8" s="13" t="n">
        <f aca="false">'Volume e Receita'!D7*Premissas!$B$6</f>
        <v>1560</v>
      </c>
      <c r="D8" s="13" t="n">
        <f aca="false">Premissas!E27</f>
        <v>1750</v>
      </c>
      <c r="E8" s="13" t="n">
        <f aca="false">Premissas!$B$12</f>
        <v>300</v>
      </c>
      <c r="F8" s="5" t="n">
        <f aca="false">B8-C8-D8-E8</f>
        <v>7310</v>
      </c>
      <c r="G8" s="5" t="n">
        <f aca="false">H7</f>
        <v>19418</v>
      </c>
      <c r="H8" s="18" t="n">
        <f aca="false">G8+F8</f>
        <v>26728</v>
      </c>
    </row>
    <row r="9" customFormat="false" ht="15" hidden="false" customHeight="false" outlineLevel="0" collapsed="false">
      <c r="A9" s="14" t="s">
        <v>32</v>
      </c>
      <c r="B9" s="17" t="n">
        <f aca="false">SUM(B5:B8)</f>
        <v>29666</v>
      </c>
      <c r="C9" s="17" t="n">
        <f aca="false">SUM(C5:C8)</f>
        <v>4238</v>
      </c>
      <c r="D9" s="17" t="n">
        <f aca="false">SUM(D5:D8)</f>
        <v>6000</v>
      </c>
      <c r="E9" s="17" t="n">
        <f aca="false">SUM(E5:E8)</f>
        <v>1200</v>
      </c>
      <c r="F9" s="17" t="n">
        <f aca="false">SUM(F5:F8)</f>
        <v>18228</v>
      </c>
      <c r="G9" s="15"/>
      <c r="H9" s="17" t="n">
        <f aca="false">H8</f>
        <v>26728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9" t="s">
        <v>42</v>
      </c>
      <c r="B3" s="9" t="s">
        <v>43</v>
      </c>
      <c r="C3" s="9" t="s">
        <v>44</v>
      </c>
    </row>
    <row r="4" customFormat="false" ht="15" hidden="false" customHeight="false" outlineLevel="0" collapsed="false">
      <c r="A4" s="10" t="s">
        <v>45</v>
      </c>
      <c r="B4" s="13" t="n">
        <f aca="false">Premissas!B16</f>
        <v>5000</v>
      </c>
      <c r="C4" s="19" t="n">
        <f aca="false">B4/Premissas!$B$15</f>
        <v>0.333333333333333</v>
      </c>
    </row>
    <row r="5" customFormat="false" ht="15" hidden="false" customHeight="false" outlineLevel="0" collapsed="false">
      <c r="A5" s="10" t="s">
        <v>46</v>
      </c>
      <c r="B5" s="13" t="n">
        <f aca="false">Premissas!B17</f>
        <v>1500</v>
      </c>
      <c r="C5" s="19" t="n">
        <f aca="false">B5/Premissas!$B$15</f>
        <v>0.1</v>
      </c>
    </row>
    <row r="6" customFormat="false" ht="15" hidden="false" customHeight="false" outlineLevel="0" collapsed="false">
      <c r="A6" s="10" t="s">
        <v>47</v>
      </c>
      <c r="B6" s="13" t="n">
        <f aca="false">SUM(Premissas!B27:E27)</f>
        <v>6000</v>
      </c>
      <c r="C6" s="19" t="n">
        <f aca="false">B6/Premissas!$B$15</f>
        <v>0.4</v>
      </c>
    </row>
    <row r="7" customFormat="false" ht="15" hidden="false" customHeight="false" outlineLevel="0" collapsed="false">
      <c r="A7" s="10" t="s">
        <v>48</v>
      </c>
      <c r="B7" s="13" t="n">
        <f aca="false">Premissas!$B$15-B4-B5-B6</f>
        <v>2500</v>
      </c>
      <c r="C7" s="19" t="n">
        <f aca="false">B7/Premissas!$B$15</f>
        <v>0.166666666666667</v>
      </c>
    </row>
    <row r="8" customFormat="false" ht="15" hidden="false" customHeight="false" outlineLevel="0" collapsed="false">
      <c r="A8" s="14" t="s">
        <v>49</v>
      </c>
      <c r="B8" s="17" t="n">
        <f aca="false">SUM(B4:B7)</f>
        <v>15000</v>
      </c>
      <c r="C8" s="20" t="n">
        <f aca="false">SUM(C4:C7)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50</v>
      </c>
    </row>
    <row r="3" customFormat="false" ht="28.35" hidden="false" customHeight="false" outlineLevel="0" collapsed="false">
      <c r="A3" s="9" t="s">
        <v>26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23</v>
      </c>
      <c r="G3" s="9" t="s">
        <v>55</v>
      </c>
    </row>
    <row r="4" customFormat="false" ht="15" hidden="false" customHeight="false" outlineLevel="0" collapsed="false">
      <c r="A4" s="10" t="s">
        <v>19</v>
      </c>
      <c r="B4" s="13" t="n">
        <f aca="false">Premissas!B27+Premissas!$B$12</f>
        <v>1300</v>
      </c>
      <c r="C4" s="13" t="n">
        <f aca="false">Premissas!$B$7</f>
        <v>120</v>
      </c>
      <c r="D4" s="12" t="n">
        <f aca="false">B4/C4</f>
        <v>10.8333333333333</v>
      </c>
      <c r="E4" s="11" t="n">
        <f aca="false">D4/Premissas!$B$11</f>
        <v>0.416666666666667</v>
      </c>
      <c r="F4" s="11" t="n">
        <f aca="false">Premissas!B26</f>
        <v>1</v>
      </c>
      <c r="G4" s="6" t="n">
        <f aca="false">IFERROR((F4-E4)/F4,0)</f>
        <v>0.583333333333333</v>
      </c>
    </row>
    <row r="5" customFormat="false" ht="15" hidden="false" customHeight="false" outlineLevel="0" collapsed="false">
      <c r="A5" s="10" t="s">
        <v>20</v>
      </c>
      <c r="B5" s="13" t="n">
        <f aca="false">Premissas!C27+Premissas!$B$12</f>
        <v>1800</v>
      </c>
      <c r="C5" s="13" t="n">
        <f aca="false">Premissas!$B$7</f>
        <v>120</v>
      </c>
      <c r="D5" s="12" t="n">
        <f aca="false">B5/C5</f>
        <v>15</v>
      </c>
      <c r="E5" s="11" t="n">
        <f aca="false">D5/Premissas!$B$11</f>
        <v>0.576923076923077</v>
      </c>
      <c r="F5" s="11" t="n">
        <f aca="false">Premissas!C26</f>
        <v>1.75</v>
      </c>
      <c r="G5" s="6" t="n">
        <f aca="false">IFERROR((F5-E5)/F5,0)</f>
        <v>0.67032967032967</v>
      </c>
    </row>
    <row r="6" customFormat="false" ht="15" hidden="false" customHeight="false" outlineLevel="0" collapsed="false">
      <c r="A6" s="10" t="s">
        <v>21</v>
      </c>
      <c r="B6" s="13" t="n">
        <f aca="false">Premissas!D27+Premissas!$B$12</f>
        <v>2050</v>
      </c>
      <c r="C6" s="13" t="n">
        <f aca="false">Premissas!$B$7</f>
        <v>120</v>
      </c>
      <c r="D6" s="12" t="n">
        <f aca="false">B6/C6</f>
        <v>17.0833333333333</v>
      </c>
      <c r="E6" s="11" t="n">
        <f aca="false">D6/Premissas!$B$11</f>
        <v>0.657051282051282</v>
      </c>
      <c r="F6" s="11" t="n">
        <f aca="false">Premissas!D26</f>
        <v>2.4</v>
      </c>
      <c r="G6" s="6" t="n">
        <f aca="false">IFERROR((F6-E6)/F6,0)</f>
        <v>0.726228632478633</v>
      </c>
    </row>
    <row r="7" customFormat="false" ht="15" hidden="false" customHeight="false" outlineLevel="0" collapsed="false">
      <c r="A7" s="10" t="s">
        <v>22</v>
      </c>
      <c r="B7" s="13" t="n">
        <f aca="false">Premissas!E27+Premissas!$B$12</f>
        <v>2050</v>
      </c>
      <c r="C7" s="13" t="n">
        <f aca="false">Premissas!$B$7</f>
        <v>120</v>
      </c>
      <c r="D7" s="12" t="n">
        <f aca="false">B7/C7</f>
        <v>17.0833333333333</v>
      </c>
      <c r="E7" s="11" t="n">
        <f aca="false">D7/Premissas!$B$11</f>
        <v>0.657051282051282</v>
      </c>
      <c r="F7" s="11" t="n">
        <f aca="false">Premissas!E26</f>
        <v>3</v>
      </c>
      <c r="G7" s="6" t="n">
        <f aca="false">IFERROR((F7-E7)/F7,0)</f>
        <v>0.780982905982906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1" t="s">
        <v>57</v>
      </c>
    </row>
    <row r="4" customFormat="false" ht="15" hidden="false" customHeight="false" outlineLevel="0" collapsed="false">
      <c r="A4" s="10" t="s">
        <v>30</v>
      </c>
      <c r="B4" s="22" t="n">
        <f aca="false">Premissas!B5</f>
        <v>140</v>
      </c>
    </row>
    <row r="5" customFormat="false" ht="15" hidden="false" customHeight="false" outlineLevel="0" collapsed="false">
      <c r="A5" s="10" t="s">
        <v>6</v>
      </c>
      <c r="B5" s="23" t="n">
        <f aca="false">Premissas!B8</f>
        <v>0.857142857142857</v>
      </c>
    </row>
    <row r="6" customFormat="false" ht="15" hidden="false" customHeight="false" outlineLevel="0" collapsed="false">
      <c r="A6" s="10" t="s">
        <v>16</v>
      </c>
      <c r="B6" s="24" t="n">
        <f aca="false">Premissas!B21</f>
        <v>0.5</v>
      </c>
    </row>
    <row r="7" customFormat="false" ht="15" hidden="false" customHeight="false" outlineLevel="0" collapsed="false">
      <c r="A7" s="10" t="s">
        <v>58</v>
      </c>
      <c r="B7" s="24" t="n">
        <f aca="false">Premissas!B22</f>
        <v>3</v>
      </c>
    </row>
    <row r="8" customFormat="false" ht="15" hidden="false" customHeight="false" outlineLevel="0" collapsed="false">
      <c r="A8" s="10" t="s">
        <v>59</v>
      </c>
      <c r="B8" s="25" t="n">
        <f aca="false">Premissas!B22/Premissas!B21</f>
        <v>6</v>
      </c>
    </row>
    <row r="9" customFormat="false" ht="15" hidden="false" customHeight="false" outlineLevel="0" collapsed="false">
      <c r="A9" s="10" t="s">
        <v>60</v>
      </c>
      <c r="B9" s="22" t="n">
        <f aca="false">'Volume e Receita'!F8</f>
        <v>29666</v>
      </c>
    </row>
    <row r="10" customFormat="false" ht="15" hidden="false" customHeight="false" outlineLevel="0" collapsed="false">
      <c r="A10" s="10" t="s">
        <v>61</v>
      </c>
      <c r="B10" s="22" t="n">
        <f aca="false">'Fluxo de Caixa'!F9</f>
        <v>18228</v>
      </c>
    </row>
    <row r="11" customFormat="false" ht="15" hidden="false" customHeight="false" outlineLevel="0" collapsed="false">
      <c r="A11" s="10" t="s">
        <v>62</v>
      </c>
      <c r="B11" s="22" t="n">
        <f aca="false">'Fluxo de Caixa'!H8</f>
        <v>26728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2026-08-11T22:12:36Z</dcterms:created>
  <dc:creator>openpyxl</dc:creator>
  <dc:description/>
  <dc:language>en-US</dc:language>
  <cp:lastModifiedBy/>
  <dcterms:modified xsi:type="dcterms:W3CDTF">2026-08-11T22:12:44Z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